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ORISE\Projects\salvage\pfh\tables\"/>
    </mc:Choice>
  </mc:AlternateContent>
  <xr:revisionPtr revIDLastSave="0" documentId="13_ncr:1_{4E58F44B-3A45-456A-9756-CA74BA38B981}" xr6:coauthVersionLast="36" xr6:coauthVersionMax="36" xr10:uidLastSave="{00000000-0000-0000-0000-000000000000}"/>
  <bookViews>
    <workbookView xWindow="0" yWindow="0" windowWidth="21570" windowHeight="7980" xr2:uid="{7179679D-7B0A-430B-92F9-F823978B3D0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2" i="1"/>
  <c r="C7" i="1"/>
  <c r="E2" i="1" s="1"/>
  <c r="B7" i="1"/>
  <c r="D7" i="1" s="1"/>
  <c r="E6" i="1" l="1"/>
  <c r="E5" i="1"/>
  <c r="E4" i="1"/>
  <c r="E3" i="1"/>
</calcChain>
</file>

<file path=xl/sharedStrings.xml><?xml version="1.0" encoding="utf-8"?>
<sst xmlns="http://schemas.openxmlformats.org/spreadsheetml/2006/main" count="11" uniqueCount="11">
  <si>
    <t>Owner</t>
  </si>
  <si>
    <t>Harvest area (ha)</t>
  </si>
  <si>
    <t>Analysis area (ha)</t>
  </si>
  <si>
    <t>Harvest rate</t>
  </si>
  <si>
    <t>% of extent</t>
  </si>
  <si>
    <t>Federal</t>
  </si>
  <si>
    <t xml:space="preserve">    USFS</t>
  </si>
  <si>
    <t xml:space="preserve">    BLM</t>
  </si>
  <si>
    <t>Private</t>
  </si>
  <si>
    <t>Other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</si>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</sst>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%"/>
    <numFmt numFmtId="168" formatCode="_(* #,##0_);_(* \(#,##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">
    <xf numFmtId="0" fontId="0" fillId="0" borderId="0" xfId="0"/>
    <xf numFmtId="164" fontId="0" fillId="0" borderId="0" xfId="2" applyNumberFormat="1" applyFont="1"/>
    <xf numFmtId="168" fontId="0" fillId="0" borderId="0" xfId="1" applyNumberFormat="1" applyFont="1"/>
    <xf numFmtId="0" fontId="0" fillId="0" borderId="1" xfId="0" applyBorder="1"/>
    <xf numFmtId="9" fontId="0" fillId="0" borderId="0" xfId="2" applyNumberFormat="1" applyFont="1"/>
    <xf numFmtId="0" fontId="0" fillId="0" borderId="0" xfId="0" applyFont="1"/>
    <xf numFmtId="168" fontId="1" fillId="0" borderId="0" xfId="1" applyNumberFormat="1" applyFont="1"/>
    <xf numFmtId="164" fontId="1" fillId="0" borderId="0" xfId="2" applyNumberFormat="1" applyFont="1"/>
    <xf numFmtId="9" fontId="1" fillId="0" borderId="0" xfId="2" applyNumberFormat="1" applyFont="1"/>
    <xf numFmtId="0" fontId="0" fillId="0" borderId="2" xfId="0" applyFont="1" applyBorder="1"/>
    <xf numFmtId="168" fontId="1" fillId="0" borderId="2" xfId="1" applyNumberFormat="1" applyFont="1" applyBorder="1"/>
    <xf numFmtId="164" fontId="1" fillId="0" borderId="2" xfId="2" applyNumberFormat="1" applyFont="1" applyBorder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3F950-9190-41C7-9FDF-D97890B656D3}">
  <dimension ref="A1:E7"/>
  <sheetViews>
    <sheetView tabSelected="1" workbookViewId="0">
      <selection activeCell="F8" sqref="F8"/>
    </sheetView>
  </sheetViews>
  <sheetFormatPr defaultRowHeight="15" x14ac:dyDescent="0.25"/>
  <cols>
    <col min="2" max="2" width="16.140625" bestFit="1" customWidth="1"/>
    <col min="3" max="3" width="16.7109375" bestFit="1" customWidth="1"/>
    <col min="4" max="4" width="11.7109375" bestFit="1" customWidth="1"/>
    <col min="5" max="5" width="11.140625" bestFit="1" customWidth="1"/>
  </cols>
  <sheetData>
    <row r="1" spans="1: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 x14ac:dyDescent="0.25">
      <c r="A2" t="s">
        <v>5</v>
      </c>
      <c r="B2" s="2">
        <v>79898</v>
      </c>
      <c r="C2" s="2">
        <v>1634944</v>
      </c>
      <c r="D2" s="1">
        <f>B2/C2</f>
        <v>4.886895208643232E-2</v>
      </c>
      <c r="E2" s="4">
        <f>C2/$C$7</f>
        <v>0.7326570550121061</v>
      </c>
    </row>
    <row r="3" spans="1:5" x14ac:dyDescent="0.25">
      <c r="A3" s="5" t="s">
        <v>6</v>
      </c>
      <c r="B3" s="6">
        <v>71706</v>
      </c>
      <c r="C3" s="6">
        <v>1458084</v>
      </c>
      <c r="D3" s="7">
        <f t="shared" ref="D3:D7" si="0">B3/C3</f>
        <v>4.9178236644802358E-2</v>
      </c>
      <c r="E3" s="8">
        <f>C3/$C$7</f>
        <v>0.65340190820008004</v>
      </c>
    </row>
    <row r="4" spans="1:5" x14ac:dyDescent="0.25">
      <c r="A4" s="5" t="s">
        <v>7</v>
      </c>
      <c r="B4" s="6">
        <v>8165</v>
      </c>
      <c r="C4" s="6">
        <v>175666</v>
      </c>
      <c r="D4" s="7">
        <f t="shared" si="0"/>
        <v>4.6480252296972661E-2</v>
      </c>
      <c r="E4" s="8">
        <f>C4/$C$7</f>
        <v>7.8720087186935225E-2</v>
      </c>
    </row>
    <row r="5" spans="1:5" x14ac:dyDescent="0.25">
      <c r="A5" t="s">
        <v>8</v>
      </c>
      <c r="B5" s="2">
        <v>93798</v>
      </c>
      <c r="C5" s="2">
        <v>538530</v>
      </c>
      <c r="D5" s="1">
        <f t="shared" si="0"/>
        <v>0.17417414071639464</v>
      </c>
      <c r="E5" s="4">
        <f>C5/$C$7</f>
        <v>0.24132802336695905</v>
      </c>
    </row>
    <row r="6" spans="1:5" x14ac:dyDescent="0.25">
      <c r="A6" t="s">
        <v>9</v>
      </c>
      <c r="B6" s="2">
        <v>4008</v>
      </c>
      <c r="C6" s="2">
        <v>58053</v>
      </c>
      <c r="D6" s="1">
        <f t="shared" si="0"/>
        <v>6.9040359671334817E-2</v>
      </c>
      <c r="E6" s="4">
        <f>C6/$C$7</f>
        <v>2.6014921620934904E-2</v>
      </c>
    </row>
    <row r="7" spans="1:5" x14ac:dyDescent="0.25">
      <c r="A7" s="9" t="s">
        <v>10</v>
      </c>
      <c r="B7" s="10">
        <f>B6+B5+B2</f>
        <v>177704</v>
      </c>
      <c r="C7" s="10">
        <f>C6+C5+C2</f>
        <v>2231527</v>
      </c>
      <c r="D7" s="11">
        <f t="shared" si="0"/>
        <v>7.963336316343024E-2</v>
      </c>
      <c r="E7" s="9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Zuspan, Aaron</dc:creator>
  <cp:lastModifiedBy>Zuspan, Aaron</cp:lastModifiedBy>
  <dcterms:created xsi:type="dcterms:W3CDTF">2024-02-14T20:43:13Z</dcterms:created>
  <dcterms:modified xsi:type="dcterms:W3CDTF">2024-02-14T21:05:27Z</dcterms:modified>
</cp:coreProperties>
</file>